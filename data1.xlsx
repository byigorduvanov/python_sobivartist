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dat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Звичайни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tabSelected="1" workbookViewId="0">
      <selection activeCell="P24" sqref="P24"/>
    </sheetView>
  </sheetViews>
  <sheetFormatPr baseColWidth="8" defaultRowHeight="18.75"/>
  <cols>
    <col width="20.28515625" customWidth="1" style="2" min="1" max="1"/>
    <col width="35" customWidth="1" style="2" min="2" max="2"/>
    <col width="7.5703125" customWidth="1" style="2" min="3" max="3"/>
    <col width="17.5703125" customWidth="1" style="2" min="4" max="5"/>
    <col width="16" customWidth="1" style="2" min="6" max="6"/>
    <col width="15.28515625" customWidth="1" style="2" min="7" max="7"/>
    <col width="14.42578125" bestFit="1" customWidth="1" style="2" min="8" max="8"/>
    <col width="18.42578125" customWidth="1" style="2" min="9" max="9"/>
    <col width="10.140625" customWidth="1" style="2" min="10" max="10"/>
    <col width="9.7109375" bestFit="1" customWidth="1" style="2" min="11" max="11"/>
    <col width="9.140625" customWidth="1" style="2" min="12" max="12"/>
    <col width="13.28515625" customWidth="1" style="2" min="13" max="13"/>
    <col width="9.140625" customWidth="1" style="2" min="14" max="73"/>
    <col width="9.140625" customWidth="1" style="2" min="74" max="16384"/>
  </cols>
  <sheetData>
    <row r="1" ht="75" customHeight="1">
      <c r="A1" s="3" t="inlineStr">
        <is>
          <t>Кодування</t>
        </is>
      </c>
      <c r="B1" s="3" t="inlineStr">
        <is>
          <t>Найменування</t>
        </is>
      </c>
      <c r="C1" s="3" t="inlineStr">
        <is>
          <t>К-сть</t>
        </is>
      </c>
      <c r="D1" s="3" t="inlineStr">
        <is>
          <t>Марка</t>
        </is>
      </c>
      <c r="E1" s="3" t="inlineStr">
        <is>
          <t>Профіль</t>
        </is>
      </c>
      <c r="F1" s="4" t="inlineStr">
        <is>
          <t>Норми витрат (кг.) на 1шт.</t>
        </is>
      </c>
      <c r="G1" s="4" t="inlineStr">
        <is>
          <t>Норми витрат (кг.)</t>
        </is>
      </c>
      <c r="H1" s="4" t="inlineStr">
        <is>
          <t>Нормо-години на 1 дет.</t>
        </is>
      </c>
      <c r="I1" s="4" t="inlineStr">
        <is>
          <t>Собівартість матеріалів</t>
        </is>
      </c>
      <c r="J1" s="4" t="inlineStr">
        <is>
          <t>Нормо-години</t>
        </is>
      </c>
      <c r="K1" s="4" t="inlineStr">
        <is>
          <t>Норма в сек.</t>
        </is>
      </c>
      <c r="L1" s="4" t="inlineStr">
        <is>
          <t>Ціна за кг.</t>
        </is>
      </c>
      <c r="M1" s="4" t="inlineStr">
        <is>
          <t>Примітки</t>
        </is>
      </c>
      <c r="N1" s="1" t="n"/>
    </row>
    <row r="2">
      <c r="A2" t="inlineStr">
        <is>
          <t>11.31.015-001</t>
        </is>
      </c>
      <c r="B2" t="inlineStr">
        <is>
          <t>Кран 11с31п DN15x10</t>
        </is>
      </c>
      <c r="C2" t="n">
        <v>1</v>
      </c>
      <c r="D2" t="inlineStr">
        <is>
          <t>-</t>
        </is>
      </c>
      <c r="E2" t="inlineStr">
        <is>
          <t>-</t>
        </is>
      </c>
      <c r="F2" t="n">
        <v>0</v>
      </c>
      <c r="G2" t="n">
        <v>0</v>
      </c>
      <c r="H2" t="n">
        <v>0.2112</v>
      </c>
      <c r="I2" t="n">
        <v>0</v>
      </c>
      <c r="J2" t="n">
        <v>0.2112</v>
      </c>
      <c r="K2" t="n">
        <v>760.3200000000001</v>
      </c>
      <c r="L2" t="n">
        <v>0</v>
      </c>
    </row>
    <row r="3">
      <c r="A3" t="inlineStr">
        <is>
          <t>41.31.015-001</t>
        </is>
      </c>
      <c r="B3" t="inlineStr">
        <is>
          <t>Патрубок корпуса 11с31п DN15х10</t>
        </is>
      </c>
      <c r="C3" t="n">
        <v>1</v>
      </c>
      <c r="D3" t="inlineStr">
        <is>
          <t>Сталь 20</t>
        </is>
      </c>
      <c r="E3" t="inlineStr">
        <is>
          <t>Тр. 42.3х2.8</t>
        </is>
      </c>
      <c r="F3" t="n">
        <v>0.2293</v>
      </c>
      <c r="G3" t="n">
        <v>0.2293</v>
      </c>
      <c r="H3" t="n">
        <v>0.037</v>
      </c>
      <c r="I3" t="n">
        <v>9.17</v>
      </c>
      <c r="J3" t="n">
        <v>0.037</v>
      </c>
      <c r="K3" t="n">
        <v>133.2</v>
      </c>
      <c r="L3" t="n">
        <v>40</v>
      </c>
    </row>
    <row r="4">
      <c r="A4" t="inlineStr">
        <is>
          <t>42.01.015-001</t>
        </is>
      </c>
      <c r="B4" t="inlineStr">
        <is>
          <t>Бобишка 11с31п DN15 (10x22)</t>
        </is>
      </c>
      <c r="C4" t="n">
        <v>1</v>
      </c>
      <c r="D4" t="inlineStr">
        <is>
          <t>Сталь 3</t>
        </is>
      </c>
      <c r="E4" t="inlineStr">
        <is>
          <t>Круг 16</t>
        </is>
      </c>
      <c r="F4" t="n">
        <v>0.0442</v>
      </c>
      <c r="G4" t="n">
        <v>0.0442</v>
      </c>
      <c r="H4" t="n">
        <v>0.0528</v>
      </c>
      <c r="I4" t="n">
        <v>1.51</v>
      </c>
      <c r="J4" t="n">
        <v>0.0528</v>
      </c>
      <c r="K4" t="n">
        <v>190.08</v>
      </c>
      <c r="L4" t="n">
        <v>34.25</v>
      </c>
    </row>
    <row r="5">
      <c r="A5" t="inlineStr">
        <is>
          <t>53.01.004-002</t>
        </is>
      </c>
      <c r="B5" t="inlineStr">
        <is>
          <t>Штифт 4х9</t>
        </is>
      </c>
      <c r="C5" t="n">
        <v>1</v>
      </c>
      <c r="D5" t="inlineStr">
        <is>
          <t>Сталь 45</t>
        </is>
      </c>
      <c r="E5" t="inlineStr">
        <is>
          <t>Круг калібр. 4</t>
        </is>
      </c>
      <c r="F5" t="n">
        <v>0.0011</v>
      </c>
      <c r="G5" t="n">
        <v>0.0011</v>
      </c>
      <c r="H5" t="n">
        <v>0.012</v>
      </c>
      <c r="I5" t="n">
        <v>0.07000000000000001</v>
      </c>
      <c r="J5" t="n">
        <v>0.012</v>
      </c>
      <c r="K5" t="n">
        <v>43.2</v>
      </c>
      <c r="L5" t="n">
        <v>60.144</v>
      </c>
    </row>
    <row r="6">
      <c r="A6" t="inlineStr">
        <is>
          <t>60.01.015-001</t>
        </is>
      </c>
      <c r="B6" t="inlineStr">
        <is>
          <t>Куля 21х10 Китай</t>
        </is>
      </c>
      <c r="C6" t="n">
        <v>1</v>
      </c>
      <c r="D6" t="inlineStr">
        <is>
          <t>-</t>
        </is>
      </c>
      <c r="E6" t="inlineStr">
        <is>
          <t>-</t>
        </is>
      </c>
      <c r="F6" t="n">
        <v>0</v>
      </c>
      <c r="G6" t="n">
        <v>0</v>
      </c>
      <c r="H6" t="n">
        <v>0</v>
      </c>
      <c r="I6" t="n">
        <v>22.57</v>
      </c>
      <c r="J6" t="n">
        <v>0</v>
      </c>
      <c r="K6" t="n">
        <v>0</v>
      </c>
      <c r="L6" t="n">
        <v>0</v>
      </c>
    </row>
    <row r="7">
      <c r="A7" t="inlineStr">
        <is>
          <t>61.01.015-001</t>
        </is>
      </c>
      <c r="B7" t="inlineStr">
        <is>
          <t>Шток 11с31п DN15 (10x41)</t>
        </is>
      </c>
      <c r="C7" t="n">
        <v>1</v>
      </c>
      <c r="D7" t="inlineStr">
        <is>
          <t>Сталь 20Х13</t>
        </is>
      </c>
      <c r="E7" t="inlineStr">
        <is>
          <t>Круг 14</t>
        </is>
      </c>
      <c r="F7" t="n">
        <v>0.0572</v>
      </c>
      <c r="G7" t="n">
        <v>0.0572</v>
      </c>
      <c r="H7" t="n">
        <v>0.07820000000000001</v>
      </c>
      <c r="I7" t="n">
        <v>6.25</v>
      </c>
      <c r="J7" t="n">
        <v>0.07820000000000001</v>
      </c>
      <c r="K7" t="n">
        <v>281.52</v>
      </c>
      <c r="L7" t="n">
        <v>109.331</v>
      </c>
    </row>
    <row r="8">
      <c r="A8" t="inlineStr">
        <is>
          <t>70.04.015-001</t>
        </is>
      </c>
      <c r="B8" t="inlineStr">
        <is>
          <t>Ущільнення штока DN15</t>
        </is>
      </c>
      <c r="C8" t="n">
        <v>1</v>
      </c>
      <c r="D8" t="inlineStr">
        <is>
          <t>-</t>
        </is>
      </c>
      <c r="E8" t="inlineStr">
        <is>
          <t>-</t>
        </is>
      </c>
      <c r="F8" t="n">
        <v>0</v>
      </c>
      <c r="G8" t="n">
        <v>0</v>
      </c>
      <c r="H8" t="n">
        <v>0</v>
      </c>
      <c r="I8" t="n">
        <v>1.61</v>
      </c>
      <c r="J8" t="n">
        <v>0</v>
      </c>
      <c r="K8" t="n">
        <v>0</v>
      </c>
      <c r="L8" t="n">
        <v>0</v>
      </c>
    </row>
    <row r="9">
      <c r="A9" t="inlineStr">
        <is>
          <t>72.01.007-001</t>
        </is>
      </c>
      <c r="B9" t="inlineStr">
        <is>
          <t>Гумове кільце 007-009-19</t>
        </is>
      </c>
      <c r="C9" t="n">
        <v>2</v>
      </c>
      <c r="D9" t="inlineStr">
        <is>
          <t>-</t>
        </is>
      </c>
      <c r="E9" t="inlineStr">
        <is>
          <t>-</t>
        </is>
      </c>
      <c r="F9" t="n">
        <v>0</v>
      </c>
      <c r="G9" t="n">
        <v>0</v>
      </c>
      <c r="H9" t="n">
        <v>0</v>
      </c>
      <c r="I9" t="n">
        <v>3.48</v>
      </c>
      <c r="J9" t="n">
        <v>0</v>
      </c>
      <c r="K9" t="n">
        <v>0</v>
      </c>
      <c r="L9" t="n">
        <v>0</v>
      </c>
    </row>
    <row r="10">
      <c r="A10" t="inlineStr">
        <is>
          <t>55.31.015-001</t>
        </is>
      </c>
      <c r="B10" t="inlineStr">
        <is>
          <t>Полоса ручку КТ31 DN15</t>
        </is>
      </c>
      <c r="C10" t="n">
        <v>1</v>
      </c>
      <c r="D10" t="inlineStr">
        <is>
          <t>Сталь 3</t>
        </is>
      </c>
      <c r="E10" t="inlineStr">
        <is>
          <t>Штаба 16х3</t>
        </is>
      </c>
      <c r="F10" t="n">
        <v>0.0548</v>
      </c>
      <c r="G10" t="n">
        <v>0.0548</v>
      </c>
      <c r="H10" t="n">
        <v>0.014</v>
      </c>
      <c r="I10" t="n">
        <v>1.9</v>
      </c>
      <c r="J10" t="n">
        <v>0.014</v>
      </c>
      <c r="K10" t="n">
        <v>50.4</v>
      </c>
      <c r="L10" t="n">
        <v>34.6</v>
      </c>
    </row>
    <row r="11">
      <c r="A11" t="inlineStr">
        <is>
          <t>71.01.016-001</t>
        </is>
      </c>
      <c r="B11" t="inlineStr">
        <is>
          <t>Насадка на ручку DN15</t>
        </is>
      </c>
      <c r="C11" t="n">
        <v>1</v>
      </c>
      <c r="D11" t="inlineStr">
        <is>
          <t>Поліетилен</t>
        </is>
      </c>
      <c r="E11" t="inlineStr">
        <is>
          <t>Порошок</t>
        </is>
      </c>
      <c r="F11" t="n">
        <v>0.0058</v>
      </c>
      <c r="G11" t="n">
        <v>0.0058</v>
      </c>
      <c r="H11" t="n">
        <v>0.0044</v>
      </c>
      <c r="I11" t="n">
        <v>0.27</v>
      </c>
      <c r="J11" t="n">
        <v>0.0044</v>
      </c>
      <c r="K11" t="n">
        <v>15.84</v>
      </c>
      <c r="L11" t="n">
        <v>45.84</v>
      </c>
    </row>
    <row r="12">
      <c r="A12" t="inlineStr">
        <is>
          <t>40.31.015-001</t>
        </is>
      </c>
      <c r="B12" t="inlineStr">
        <is>
          <t>Патрубок 11с31п DN15x10</t>
        </is>
      </c>
      <c r="C12" t="n">
        <v>2</v>
      </c>
      <c r="D12" t="inlineStr">
        <is>
          <t>Сталь 20</t>
        </is>
      </c>
      <c r="E12" t="inlineStr">
        <is>
          <t>Труба 21.3х2.8</t>
        </is>
      </c>
      <c r="F12" t="n">
        <v>0.1293</v>
      </c>
      <c r="G12" t="n">
        <v>0.2586</v>
      </c>
      <c r="H12" t="n">
        <v>0.0294</v>
      </c>
      <c r="I12" t="n">
        <v>10.34</v>
      </c>
      <c r="J12" t="n">
        <v>0.0588</v>
      </c>
      <c r="K12" t="n">
        <v>211.68</v>
      </c>
      <c r="L12" t="n">
        <v>40</v>
      </c>
    </row>
    <row r="13">
      <c r="A13" t="inlineStr">
        <is>
          <t>70.01.015-001</t>
        </is>
      </c>
      <c r="B13" t="inlineStr">
        <is>
          <t>Ущільнення кулі 11с31п DN15x10</t>
        </is>
      </c>
      <c r="C13" t="n">
        <v>2</v>
      </c>
      <c r="D13" t="inlineStr">
        <is>
          <t>-</t>
        </is>
      </c>
      <c r="E13" t="inlineStr">
        <is>
          <t>-</t>
        </is>
      </c>
      <c r="F13" t="n">
        <v>0</v>
      </c>
      <c r="G13" t="n">
        <v>0</v>
      </c>
      <c r="H13" t="n">
        <v>0</v>
      </c>
      <c r="I13" t="n">
        <v>14.96</v>
      </c>
      <c r="J13" t="n">
        <v>0</v>
      </c>
      <c r="K13" t="n">
        <v>0</v>
      </c>
      <c r="L13" t="n">
        <v>0</v>
      </c>
    </row>
    <row r="14">
      <c r="A14" t="inlineStr">
        <is>
          <t>50.01.015-001</t>
        </is>
      </c>
      <c r="B14" t="inlineStr">
        <is>
          <t>Втулка кріпильна DN15x10</t>
        </is>
      </c>
      <c r="C14" t="n">
        <v>2</v>
      </c>
      <c r="D14" t="inlineStr">
        <is>
          <t>Сталь 08Х13</t>
        </is>
      </c>
      <c r="E14" t="inlineStr">
        <is>
          <t>Лист 0.8</t>
        </is>
      </c>
      <c r="F14" t="n">
        <v>0.004</v>
      </c>
      <c r="G14" t="n">
        <v>0.008</v>
      </c>
      <c r="H14" t="n">
        <v>0.0083</v>
      </c>
      <c r="I14" t="n">
        <v>0.79</v>
      </c>
      <c r="J14" t="n">
        <v>0.0166</v>
      </c>
      <c r="K14" t="n">
        <v>59.76</v>
      </c>
      <c r="L14" t="n">
        <v>99.023</v>
      </c>
    </row>
    <row r="15">
      <c r="A15" t="inlineStr">
        <is>
          <t>51.01.015-001</t>
        </is>
      </c>
      <c r="B15" t="inlineStr">
        <is>
          <t>Пружина тарільчаста DN15x10</t>
        </is>
      </c>
      <c r="C15" t="n">
        <v>2</v>
      </c>
      <c r="D15" t="inlineStr">
        <is>
          <t>Сталь 65Г</t>
        </is>
      </c>
      <c r="E15" t="inlineStr">
        <is>
          <t>Лист 0.8</t>
        </is>
      </c>
      <c r="F15" t="n">
        <v>0.0039</v>
      </c>
      <c r="G15" t="n">
        <v>0.0078</v>
      </c>
      <c r="H15" t="n">
        <v>0.007900000000000001</v>
      </c>
      <c r="I15" t="n">
        <v>0.96</v>
      </c>
      <c r="J15" t="n">
        <v>0.0158</v>
      </c>
      <c r="K15" t="n">
        <v>56.88</v>
      </c>
      <c r="L15" t="n">
        <v>123</v>
      </c>
    </row>
    <row r="16">
      <c r="A16" t="inlineStr">
        <is>
          <t>52.01.015-001</t>
        </is>
      </c>
      <c r="B16" t="inlineStr">
        <is>
          <t>Шайба DN15x10</t>
        </is>
      </c>
      <c r="C16" t="n">
        <v>2</v>
      </c>
      <c r="D16" t="inlineStr">
        <is>
          <t>Сталь 3</t>
        </is>
      </c>
      <c r="E16" t="inlineStr">
        <is>
          <t>Лист 1.5</t>
        </is>
      </c>
      <c r="F16" t="n">
        <v>0.0047</v>
      </c>
      <c r="G16" t="n">
        <v>0.0094</v>
      </c>
      <c r="H16" t="n">
        <v>0.0062</v>
      </c>
      <c r="I16" t="n">
        <v>0.35</v>
      </c>
      <c r="J16" t="n">
        <v>0.0124</v>
      </c>
      <c r="K16" t="n">
        <v>44.64</v>
      </c>
      <c r="L16" t="n">
        <v>37.58</v>
      </c>
    </row>
    <row r="17">
      <c r="A17" t="inlineStr">
        <is>
          <t>71.02.015-001</t>
        </is>
      </c>
      <c r="B17" t="inlineStr">
        <is>
          <t>Заглушка на патрубок. Кран 11с31п DN15х10</t>
        </is>
      </c>
      <c r="C17" t="n">
        <v>2</v>
      </c>
      <c r="D17" t="inlineStr">
        <is>
          <t>Поліетилен</t>
        </is>
      </c>
      <c r="E17" t="inlineStr">
        <is>
          <t>Порошок</t>
        </is>
      </c>
      <c r="F17" t="n">
        <v>0.0038</v>
      </c>
      <c r="G17" t="n">
        <v>0.0076</v>
      </c>
      <c r="H17" t="n">
        <v>0.0021</v>
      </c>
      <c r="I17" t="n">
        <v>0.35</v>
      </c>
      <c r="J17" t="n">
        <v>0.0042</v>
      </c>
      <c r="K17" t="n">
        <v>15.12</v>
      </c>
      <c r="L17" t="n">
        <v>45.84</v>
      </c>
    </row>
    <row r="18">
      <c r="A18" t="inlineStr">
        <is>
          <t>Гайка М8</t>
        </is>
      </c>
      <c r="B18" t="inlineStr">
        <is>
          <t>Гайка M8</t>
        </is>
      </c>
      <c r="C18" t="n">
        <v>2</v>
      </c>
      <c r="D18" t="inlineStr">
        <is>
          <t>-</t>
        </is>
      </c>
      <c r="E18" t="inlineStr">
        <is>
          <t>-</t>
        </is>
      </c>
      <c r="F18" t="n">
        <v>0</v>
      </c>
      <c r="G18" t="n">
        <v>0</v>
      </c>
      <c r="H18" t="n">
        <v>0</v>
      </c>
      <c r="I18" t="n">
        <v>0.73</v>
      </c>
      <c r="J18" t="n">
        <v>0</v>
      </c>
      <c r="K18" t="n">
        <v>0</v>
      </c>
      <c r="L18" t="n">
        <v>0</v>
      </c>
    </row>
    <row r="21">
      <c r="I21" s="2">
        <f>SUM(I2:I20)</f>
        <v/>
      </c>
      <c r="J21" s="2">
        <f>SUM(J2:J20)</f>
        <v/>
      </c>
      <c r="K21" s="2">
        <f>SUM(K2:K20)</f>
        <v/>
      </c>
    </row>
    <row r="22">
      <c r="A22" t="inlineStr">
        <is>
          <t>11.31.015-001</t>
        </is>
      </c>
      <c r="B22" t="inlineStr">
        <is>
          <t>РљСЂР°РЅ 11СЃ31Рї DN15x10</t>
        </is>
      </c>
      <c r="C22" t="n">
        <v>1</v>
      </c>
      <c r="D22" t="inlineStr">
        <is>
          <t>-</t>
        </is>
      </c>
      <c r="E22" t="inlineStr">
        <is>
          <t>-</t>
        </is>
      </c>
      <c r="F22" t="n">
        <v>0</v>
      </c>
      <c r="G22" t="n">
        <v>0</v>
      </c>
      <c r="H22" t="n">
        <v>0.2112</v>
      </c>
      <c r="I22" t="n">
        <v>0</v>
      </c>
      <c r="J22" t="n">
        <v>0.2112</v>
      </c>
      <c r="K22" t="n">
        <v>760.3200000000001</v>
      </c>
      <c r="L22" t="n">
        <v>0</v>
      </c>
    </row>
    <row r="23">
      <c r="A23" t="inlineStr">
        <is>
          <t>41.31.015-001</t>
        </is>
      </c>
      <c r="B23" t="inlineStr">
        <is>
          <t>РџР°С‚СЂСѓР±РѕРє РєРѕСЂРїСѓСЃР° 11СЃ31Рї DN15С…10</t>
        </is>
      </c>
      <c r="C23" t="n">
        <v>1</v>
      </c>
      <c r="D23" t="inlineStr">
        <is>
          <t>РЎС‚Р°Р»СЊ 20</t>
        </is>
      </c>
      <c r="E23" t="inlineStr">
        <is>
          <t>РўСЂ. 42.3С…2.8</t>
        </is>
      </c>
      <c r="F23" t="n">
        <v>0.2293</v>
      </c>
      <c r="G23" t="n">
        <v>0.2293</v>
      </c>
      <c r="H23" t="n">
        <v>0.037</v>
      </c>
      <c r="I23" t="n">
        <v>9.17</v>
      </c>
      <c r="J23" t="n">
        <v>0.037</v>
      </c>
      <c r="K23" t="n">
        <v>133.2</v>
      </c>
      <c r="L23" t="n">
        <v>40</v>
      </c>
    </row>
    <row r="24">
      <c r="A24" t="inlineStr">
        <is>
          <t>42.01.015-001</t>
        </is>
      </c>
      <c r="B24" t="inlineStr">
        <is>
          <t>Р‘РѕР±РёС€РєР° 11СЃ31Рї DN15 (10x22)</t>
        </is>
      </c>
      <c r="C24" t="n">
        <v>1</v>
      </c>
      <c r="D24" t="inlineStr">
        <is>
          <t>РЎС‚Р°Р»СЊ 3</t>
        </is>
      </c>
      <c r="E24" t="inlineStr">
        <is>
          <t>РљСЂСѓРі 16</t>
        </is>
      </c>
      <c r="F24" t="n">
        <v>0.0442</v>
      </c>
      <c r="G24" t="n">
        <v>0.0442</v>
      </c>
      <c r="H24" t="n">
        <v>0.0528</v>
      </c>
      <c r="I24" t="n">
        <v>1.51</v>
      </c>
      <c r="J24" t="n">
        <v>0.0528</v>
      </c>
      <c r="K24" t="n">
        <v>190.08</v>
      </c>
      <c r="L24" t="n">
        <v>34.25</v>
      </c>
    </row>
    <row r="25">
      <c r="A25" t="inlineStr">
        <is>
          <t>53.01.004-002</t>
        </is>
      </c>
      <c r="B25" t="inlineStr">
        <is>
          <t>РЁС‚РёС„С‚ 4С…9</t>
        </is>
      </c>
      <c r="C25" t="n">
        <v>1</v>
      </c>
      <c r="D25" t="inlineStr">
        <is>
          <t>РЎС‚Р°Р»СЊ 45</t>
        </is>
      </c>
      <c r="E25" t="inlineStr">
        <is>
          <t>РљСЂСѓРі РєР°Р»С–Р±СЂ. 4</t>
        </is>
      </c>
      <c r="F25" t="n">
        <v>0.0011</v>
      </c>
      <c r="G25" t="n">
        <v>0.0011</v>
      </c>
      <c r="H25" t="n">
        <v>0.012</v>
      </c>
      <c r="I25" t="n">
        <v>0.07000000000000001</v>
      </c>
      <c r="J25" t="n">
        <v>0.012</v>
      </c>
      <c r="K25" t="n">
        <v>43.2</v>
      </c>
      <c r="L25" t="n">
        <v>60.144</v>
      </c>
    </row>
    <row r="26">
      <c r="A26" t="inlineStr">
        <is>
          <t>60.01.015-001</t>
        </is>
      </c>
      <c r="B26" t="inlineStr">
        <is>
          <t>РљСѓР»СЏ 21С…10 РљРёС‚Р°Р№</t>
        </is>
      </c>
      <c r="C26" t="n">
        <v>1</v>
      </c>
      <c r="D26" t="inlineStr">
        <is>
          <t>-</t>
        </is>
      </c>
      <c r="E26" t="inlineStr">
        <is>
          <t>-</t>
        </is>
      </c>
      <c r="F26" t="n">
        <v>0</v>
      </c>
      <c r="G26" t="n">
        <v>0</v>
      </c>
      <c r="H26" t="n">
        <v>0</v>
      </c>
      <c r="I26" t="n">
        <v>22.57</v>
      </c>
      <c r="J26" t="n">
        <v>0</v>
      </c>
      <c r="K26" t="n">
        <v>0</v>
      </c>
      <c r="L26" t="n">
        <v>0</v>
      </c>
    </row>
    <row r="27">
      <c r="A27" t="inlineStr">
        <is>
          <t>61.01.015-001</t>
        </is>
      </c>
      <c r="B27" t="inlineStr">
        <is>
          <t>РЁС‚РѕРє 11СЃ31Рї DN15 (10x41)</t>
        </is>
      </c>
      <c r="C27" t="n">
        <v>1</v>
      </c>
      <c r="D27" t="inlineStr">
        <is>
          <t>РЎС‚Р°Р»СЊ 20РҐ13</t>
        </is>
      </c>
      <c r="E27" t="inlineStr">
        <is>
          <t>РљСЂСѓРі 14</t>
        </is>
      </c>
      <c r="F27" t="n">
        <v>0.0572</v>
      </c>
      <c r="G27" t="n">
        <v>0.0572</v>
      </c>
      <c r="H27" t="n">
        <v>0.07820000000000001</v>
      </c>
      <c r="I27" t="n">
        <v>6.25</v>
      </c>
      <c r="J27" t="n">
        <v>0.07820000000000001</v>
      </c>
      <c r="K27" t="n">
        <v>281.52</v>
      </c>
      <c r="L27" t="n">
        <v>109.331</v>
      </c>
    </row>
    <row r="28">
      <c r="A28" t="inlineStr">
        <is>
          <t>70.04.015-001</t>
        </is>
      </c>
      <c r="B28" t="inlineStr">
        <is>
          <t>РЈС‰С–Р»СЊРЅРµРЅРЅСЏ С€С‚РѕРєР° DN15</t>
        </is>
      </c>
      <c r="C28" t="n">
        <v>1</v>
      </c>
      <c r="D28" t="inlineStr">
        <is>
          <t>-</t>
        </is>
      </c>
      <c r="E28" t="inlineStr">
        <is>
          <t>-</t>
        </is>
      </c>
      <c r="F28" t="n">
        <v>0</v>
      </c>
      <c r="G28" t="n">
        <v>0</v>
      </c>
      <c r="H28" t="n">
        <v>0</v>
      </c>
      <c r="I28" t="n">
        <v>1.61</v>
      </c>
      <c r="J28" t="n">
        <v>0</v>
      </c>
      <c r="K28" t="n">
        <v>0</v>
      </c>
      <c r="L28" t="n">
        <v>0</v>
      </c>
    </row>
    <row r="29">
      <c r="A29" t="inlineStr">
        <is>
          <t>72.01.007-001</t>
        </is>
      </c>
      <c r="B29" t="inlineStr">
        <is>
          <t>Р“СѓРјРѕРІРµ РєС–Р»СЊС†Рµ 007-009-19</t>
        </is>
      </c>
      <c r="C29" t="n">
        <v>2</v>
      </c>
      <c r="D29" t="inlineStr">
        <is>
          <t>-</t>
        </is>
      </c>
      <c r="E29" t="inlineStr">
        <is>
          <t>-</t>
        </is>
      </c>
      <c r="F29" t="n">
        <v>0</v>
      </c>
      <c r="G29" t="n">
        <v>0</v>
      </c>
      <c r="H29" t="n">
        <v>0</v>
      </c>
      <c r="I29" t="n">
        <v>3.48</v>
      </c>
      <c r="J29" t="n">
        <v>0</v>
      </c>
      <c r="K29" t="n">
        <v>0</v>
      </c>
      <c r="L29" t="n">
        <v>0</v>
      </c>
    </row>
    <row r="30">
      <c r="A30" t="inlineStr">
        <is>
          <t>55.31.015-001</t>
        </is>
      </c>
      <c r="B30" t="inlineStr">
        <is>
          <t>РџРѕР»РѕСЃР° СЂСѓС‡РєСѓ РљРў31 DN15</t>
        </is>
      </c>
      <c r="C30" t="n">
        <v>1</v>
      </c>
      <c r="D30" t="inlineStr">
        <is>
          <t>РЎС‚Р°Р»СЊ 3</t>
        </is>
      </c>
      <c r="E30" t="inlineStr">
        <is>
          <t>РЁС‚Р°Р±Р° 16С…3</t>
        </is>
      </c>
      <c r="F30" t="n">
        <v>0.0548</v>
      </c>
      <c r="G30" t="n">
        <v>0.0548</v>
      </c>
      <c r="H30" t="n">
        <v>0.014</v>
      </c>
      <c r="I30" t="n">
        <v>1.9</v>
      </c>
      <c r="J30" t="n">
        <v>0.014</v>
      </c>
      <c r="K30" t="n">
        <v>50.4</v>
      </c>
      <c r="L30" t="n">
        <v>34.6</v>
      </c>
    </row>
    <row r="31">
      <c r="A31" t="inlineStr">
        <is>
          <t>71.01.016-001</t>
        </is>
      </c>
      <c r="B31" t="inlineStr">
        <is>
          <t>РќР°СЃР°РґРєР° РЅР° СЂСѓС‡РєСѓ DN15</t>
        </is>
      </c>
      <c r="C31" t="n">
        <v>1</v>
      </c>
      <c r="D31" t="inlineStr">
        <is>
          <t>РџРѕР»С–РµС‚РёР»РµРЅ</t>
        </is>
      </c>
      <c r="E31" t="inlineStr">
        <is>
          <t>РџРѕСЂРѕС€РѕРє</t>
        </is>
      </c>
      <c r="F31" t="n">
        <v>0.0058</v>
      </c>
      <c r="G31" t="n">
        <v>0.0058</v>
      </c>
      <c r="H31" t="n">
        <v>0.0044</v>
      </c>
      <c r="I31" t="n">
        <v>0.27</v>
      </c>
      <c r="J31" t="n">
        <v>0.0044</v>
      </c>
      <c r="K31" t="n">
        <v>15.84</v>
      </c>
      <c r="L31" t="n">
        <v>45.84</v>
      </c>
    </row>
    <row r="32">
      <c r="A32" t="inlineStr">
        <is>
          <t>40.31.015-001</t>
        </is>
      </c>
      <c r="B32" t="inlineStr">
        <is>
          <t>РџР°С‚СЂСѓР±РѕРє 11СЃ31Рї DN15x10</t>
        </is>
      </c>
      <c r="C32" t="n">
        <v>2</v>
      </c>
      <c r="D32" t="inlineStr">
        <is>
          <t>РЎС‚Р°Р»СЊ 20</t>
        </is>
      </c>
      <c r="E32" t="inlineStr">
        <is>
          <t>РўСЂСѓР±Р° 21.3С…2.8</t>
        </is>
      </c>
      <c r="F32" t="n">
        <v>0.1293</v>
      </c>
      <c r="G32" t="n">
        <v>0.2586</v>
      </c>
      <c r="H32" t="n">
        <v>0.0294</v>
      </c>
      <c r="I32" t="n">
        <v>10.34</v>
      </c>
      <c r="J32" t="n">
        <v>0.0588</v>
      </c>
      <c r="K32" t="n">
        <v>211.68</v>
      </c>
      <c r="L32" t="n">
        <v>40</v>
      </c>
    </row>
    <row r="33">
      <c r="A33" t="inlineStr">
        <is>
          <t>70.01.015-001</t>
        </is>
      </c>
      <c r="B33" t="inlineStr">
        <is>
          <t>РЈС‰С–Р»СЊРЅРµРЅРЅСЏ РєСѓР»С– 11СЃ31Рї DN15x10</t>
        </is>
      </c>
      <c r="C33" t="n">
        <v>2</v>
      </c>
      <c r="D33" t="inlineStr">
        <is>
          <t>-</t>
        </is>
      </c>
      <c r="E33" t="inlineStr">
        <is>
          <t>-</t>
        </is>
      </c>
      <c r="F33" t="n">
        <v>0</v>
      </c>
      <c r="G33" t="n">
        <v>0</v>
      </c>
      <c r="H33" t="n">
        <v>0</v>
      </c>
      <c r="I33" t="n">
        <v>14.96</v>
      </c>
      <c r="J33" t="n">
        <v>0</v>
      </c>
      <c r="K33" t="n">
        <v>0</v>
      </c>
      <c r="L33" t="n">
        <v>0</v>
      </c>
    </row>
    <row r="34">
      <c r="A34" t="inlineStr">
        <is>
          <t>50.01.015-001</t>
        </is>
      </c>
      <c r="B34" t="inlineStr">
        <is>
          <t>Р’С‚СѓР»РєР° РєСЂС–РїРёР»СЊРЅР° DN15x10</t>
        </is>
      </c>
      <c r="C34" t="n">
        <v>2</v>
      </c>
      <c r="D34" t="inlineStr">
        <is>
          <t>РЎС‚Р°Р»СЊ 08РҐ13</t>
        </is>
      </c>
      <c r="E34" t="inlineStr">
        <is>
          <t>Р›РёСЃС‚ 0.8</t>
        </is>
      </c>
      <c r="F34" t="n">
        <v>0.004</v>
      </c>
      <c r="G34" t="n">
        <v>0.008</v>
      </c>
      <c r="H34" t="n">
        <v>0.0083</v>
      </c>
      <c r="I34" t="n">
        <v>0.79</v>
      </c>
      <c r="J34" t="n">
        <v>0.0166</v>
      </c>
      <c r="K34" t="n">
        <v>59.76</v>
      </c>
      <c r="L34" t="n">
        <v>99.023</v>
      </c>
    </row>
    <row r="35">
      <c r="A35" t="inlineStr">
        <is>
          <t>51.01.015-001</t>
        </is>
      </c>
      <c r="B35" t="inlineStr">
        <is>
          <t>РџСЂСѓР¶РёРЅР° С‚Р°СЂС–Р»СЊС‡Р°СЃС‚Р° DN15x10</t>
        </is>
      </c>
      <c r="C35" t="n">
        <v>2</v>
      </c>
      <c r="D35" t="inlineStr">
        <is>
          <t>РЎС‚Р°Р»СЊ 65Р“</t>
        </is>
      </c>
      <c r="E35" t="inlineStr">
        <is>
          <t>Р›РёСЃС‚ 0.8</t>
        </is>
      </c>
      <c r="F35" t="n">
        <v>0.0039</v>
      </c>
      <c r="G35" t="n">
        <v>0.0078</v>
      </c>
      <c r="H35" t="n">
        <v>0.007900000000000001</v>
      </c>
      <c r="I35" t="n">
        <v>0.96</v>
      </c>
      <c r="J35" t="n">
        <v>0.0158</v>
      </c>
      <c r="K35" t="n">
        <v>56.88</v>
      </c>
      <c r="L35" t="n">
        <v>123</v>
      </c>
    </row>
    <row r="36">
      <c r="A36" t="inlineStr">
        <is>
          <t>52.01.015-001</t>
        </is>
      </c>
      <c r="B36" t="inlineStr">
        <is>
          <t>РЁР°Р№Р±Р° DN15x10</t>
        </is>
      </c>
      <c r="C36" t="n">
        <v>2</v>
      </c>
      <c r="D36" t="inlineStr">
        <is>
          <t>РЎС‚Р°Р»СЊ 3</t>
        </is>
      </c>
      <c r="E36" t="inlineStr">
        <is>
          <t>Р›РёСЃС‚ 1.5</t>
        </is>
      </c>
      <c r="F36" t="n">
        <v>0.0047</v>
      </c>
      <c r="G36" t="n">
        <v>0.0094</v>
      </c>
      <c r="H36" t="n">
        <v>0.0062</v>
      </c>
      <c r="I36" t="n">
        <v>0.35</v>
      </c>
      <c r="J36" t="n">
        <v>0.0124</v>
      </c>
      <c r="K36" t="n">
        <v>44.64</v>
      </c>
      <c r="L36" t="n">
        <v>37.58</v>
      </c>
    </row>
    <row r="37">
      <c r="A37" t="inlineStr">
        <is>
          <t>71.02.015-001</t>
        </is>
      </c>
      <c r="B37" t="inlineStr">
        <is>
          <t>Р—Р°РіР»СѓС€РєР° РЅР° РїР°С‚СЂСѓР±РѕРє. РљСЂР°РЅ 11СЃ31Рї DN15С…10</t>
        </is>
      </c>
      <c r="C37" t="n">
        <v>2</v>
      </c>
      <c r="D37" t="inlineStr">
        <is>
          <t>РџРѕР»С–РµС‚РёР»РµРЅ</t>
        </is>
      </c>
      <c r="E37" t="inlineStr">
        <is>
          <t>РџРѕСЂРѕС€РѕРє</t>
        </is>
      </c>
      <c r="F37" t="n">
        <v>0.0038</v>
      </c>
      <c r="G37" t="n">
        <v>0.0076</v>
      </c>
      <c r="H37" t="n">
        <v>0.0021</v>
      </c>
      <c r="I37" t="n">
        <v>0.35</v>
      </c>
      <c r="J37" t="n">
        <v>0.0042</v>
      </c>
      <c r="K37" t="n">
        <v>15.12</v>
      </c>
      <c r="L37" t="n">
        <v>45.84</v>
      </c>
    </row>
    <row r="38">
      <c r="A38" t="inlineStr">
        <is>
          <t>Р“Р°Р№РєР° Рњ8</t>
        </is>
      </c>
      <c r="B38" t="inlineStr">
        <is>
          <t>Р“Р°Р№РєР° M8</t>
        </is>
      </c>
      <c r="C38" t="n">
        <v>2</v>
      </c>
      <c r="D38" t="inlineStr">
        <is>
          <t>-</t>
        </is>
      </c>
      <c r="E38" t="inlineStr">
        <is>
          <t>-</t>
        </is>
      </c>
      <c r="F38" t="n">
        <v>0</v>
      </c>
      <c r="G38" t="n">
        <v>0</v>
      </c>
      <c r="H38" t="n">
        <v>0</v>
      </c>
      <c r="I38" t="n">
        <v>0.73</v>
      </c>
      <c r="J38" t="n">
        <v>0</v>
      </c>
      <c r="K38" t="n">
        <v>0</v>
      </c>
      <c r="L38" t="n">
        <v>0</v>
      </c>
    </row>
  </sheetData>
  <pageMargins left="0.1968503937007874" right="0.07874015748031496" top="0.3937007874015748" bottom="0.7480314960629921" header="0.3149606299212598" footer="0.3149606299212598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2023-07-19T13:03:37Z</dcterms:modified>
  <cp:lastModifiedBy>Stepan Faberskyj</cp:lastModifiedBy>
  <cp:lastPrinted>2022-09-29T11:47:25Z</cp:lastPrinted>
</cp:coreProperties>
</file>