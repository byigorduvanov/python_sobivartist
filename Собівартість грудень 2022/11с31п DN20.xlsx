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an Faberskyj\Desktop\"/>
    </mc:Choice>
  </mc:AlternateContent>
  <bookViews>
    <workbookView xWindow="240" yWindow="105" windowWidth="14805" windowHeight="8010"/>
  </bookViews>
  <sheets>
    <sheet name="data" sheetId="1" r:id="rId1"/>
  </sheets>
  <calcPr calcId="152511"/>
</workbook>
</file>

<file path=xl/calcChain.xml><?xml version="1.0" encoding="utf-8"?>
<calcChain xmlns="http://schemas.openxmlformats.org/spreadsheetml/2006/main">
  <c r="I21" i="1" l="1"/>
  <c r="J21" i="1"/>
  <c r="K21" i="1"/>
  <c r="K2" i="1"/>
</calcChain>
</file>

<file path=xl/sharedStrings.xml><?xml version="1.0" encoding="utf-8"?>
<sst xmlns="http://schemas.openxmlformats.org/spreadsheetml/2006/main" count="77" uniqueCount="62">
  <si>
    <t>Кодування</t>
  </si>
  <si>
    <t>Найменування</t>
  </si>
  <si>
    <t>К-сть</t>
  </si>
  <si>
    <t>Марка</t>
  </si>
  <si>
    <t>Профіль</t>
  </si>
  <si>
    <t>Норми витрат (кг.) на 1шт.</t>
  </si>
  <si>
    <t>Норми витрат (кг.)</t>
  </si>
  <si>
    <t>Нормо-години на 1 дет.</t>
  </si>
  <si>
    <t>Собівартість матеріалів</t>
  </si>
  <si>
    <t>Нормо-години</t>
  </si>
  <si>
    <t>Норма в сек.</t>
  </si>
  <si>
    <t>Ціна за кг.</t>
  </si>
  <si>
    <t>Примітки</t>
  </si>
  <si>
    <t>41.31.015-001</t>
  </si>
  <si>
    <t>Патрубок корпуса 11с31п DN15х10</t>
  </si>
  <si>
    <t>Сталь 20</t>
  </si>
  <si>
    <t>Тр. 42.3х2.8</t>
  </si>
  <si>
    <t>42.01.015-001</t>
  </si>
  <si>
    <t>Бобишка 11с31п DN15 (10x22)</t>
  </si>
  <si>
    <t>Сталь 3</t>
  </si>
  <si>
    <t>Круг 16</t>
  </si>
  <si>
    <t>53.01.004-002</t>
  </si>
  <si>
    <t>Штифт 4х9</t>
  </si>
  <si>
    <t>Сталь 45</t>
  </si>
  <si>
    <t>Круг калібр. 4</t>
  </si>
  <si>
    <t>60.01.020-001</t>
  </si>
  <si>
    <t>Куля 26х14 Китай</t>
  </si>
  <si>
    <t>-</t>
  </si>
  <si>
    <t>61.01.020-001</t>
  </si>
  <si>
    <t>Шток 11с31п DN20 (10х41)</t>
  </si>
  <si>
    <t>Сталь 20Х13</t>
  </si>
  <si>
    <t>Круг 14</t>
  </si>
  <si>
    <t>70.04.015-001</t>
  </si>
  <si>
    <t>Ущільнення штока DN15</t>
  </si>
  <si>
    <t>72.01.007-001</t>
  </si>
  <si>
    <t>Гумове кільце 007-009-19</t>
  </si>
  <si>
    <t>55.31.015-001</t>
  </si>
  <si>
    <t>Полоса ручку КТ31 DN15</t>
  </si>
  <si>
    <t>Штаба 16х3</t>
  </si>
  <si>
    <t>71.01.016-001</t>
  </si>
  <si>
    <t>Насадка на ручку DN15</t>
  </si>
  <si>
    <t>Поліетилен</t>
  </si>
  <si>
    <t>Порошок</t>
  </si>
  <si>
    <t>40.31.020-001</t>
  </si>
  <si>
    <t>Патрубок 11с31п DN20х15</t>
  </si>
  <si>
    <t>Труба 26.8х2.8</t>
  </si>
  <si>
    <t>70.01.020-001</t>
  </si>
  <si>
    <t>Ущільнення кулі 11с31п DN20x15</t>
  </si>
  <si>
    <t>50.01.020-001</t>
  </si>
  <si>
    <t>Втулка кріпильна DN20x15</t>
  </si>
  <si>
    <t>Сталь 08Х13</t>
  </si>
  <si>
    <t>Лист 0.8</t>
  </si>
  <si>
    <t>51.01.020-001</t>
  </si>
  <si>
    <t>Пружина тарільчаста DN20x15</t>
  </si>
  <si>
    <t>Сталь 65Г</t>
  </si>
  <si>
    <t>52.01.020-001</t>
  </si>
  <si>
    <t>Шайба DN20x15</t>
  </si>
  <si>
    <t>Лист 2.0</t>
  </si>
  <si>
    <t>71.02.020-001</t>
  </si>
  <si>
    <t>Заглушка на патрубок. Кран 11с31п DN20x15</t>
  </si>
  <si>
    <t>Гайка М8</t>
  </si>
  <si>
    <t>Гайка 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</si>
</sst>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1" fillId="0" borderId="0" xfId="0" applyNumberFormat="1" applyFont="1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1"/>
  <sheetViews>
    <sheetView tabSelected="1" workbookViewId="0">
      <selection activeCell="N20" sqref="N20"/>
    </sheetView>
  </sheetViews>
  <sheetFormatPr defaultRowHeight="18.75" x14ac:dyDescent="0.3"/>
  <cols>
    <col min="1" max="1" width="20.28515625" style="2" customWidth="1"/>
    <col min="2" max="2" width="35" style="2" customWidth="1"/>
    <col min="3" max="3" width="7.5703125" style="2" customWidth="1"/>
    <col min="4" max="5" width="17.5703125" style="2" customWidth="1"/>
    <col min="6" max="6" width="16" style="2" customWidth="1"/>
    <col min="7" max="7" width="15.28515625" style="2" customWidth="1"/>
    <col min="8" max="8" width="14.42578125" style="2" bestFit="1" customWidth="1"/>
    <col min="9" max="9" width="18.42578125" style="2" customWidth="1"/>
    <col min="10" max="10" width="10.140625" style="2" customWidth="1"/>
    <col min="11" max="11" width="9.7109375" style="2" bestFit="1" customWidth="1"/>
    <col min="12" max="12" width="9.140625" style="2" customWidth="1"/>
    <col min="13" max="13" width="13.28515625" style="2" customWidth="1"/>
    <col min="14" max="48" width="9.140625" style="2" customWidth="1"/>
    <col min="49" max="16384" width="9.140625" style="2"/>
  </cols>
  <sheetData>
    <row r="1" spans="1:14" ht="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/>
    </row>
    <row r="2" spans="1:14" x14ac:dyDescent="0.3">
      <c r="J2" s="2">
        <v>0.21279999999999999</v>
      </c>
      <c r="K2" s="2">
        <f>J2*3600</f>
        <v>766.07999999999993</v>
      </c>
    </row>
    <row r="3" spans="1:14" x14ac:dyDescent="0.3">
      <c r="A3" t="s">
        <v>13</v>
      </c>
      <c r="B3" t="s">
        <v>14</v>
      </c>
      <c r="C3">
        <v>1</v>
      </c>
      <c r="D3" t="s">
        <v>15</v>
      </c>
      <c r="E3" t="s">
        <v>16</v>
      </c>
      <c r="F3">
        <v>0.2293</v>
      </c>
      <c r="G3">
        <v>0.2293</v>
      </c>
      <c r="H3">
        <v>3.6999999999999998E-2</v>
      </c>
      <c r="I3">
        <v>9.17</v>
      </c>
      <c r="J3">
        <v>3.6999999999999998E-2</v>
      </c>
      <c r="K3">
        <v>133.19999999999999</v>
      </c>
      <c r="L3">
        <v>40</v>
      </c>
    </row>
    <row r="4" spans="1:14" x14ac:dyDescent="0.3">
      <c r="A4" t="s">
        <v>17</v>
      </c>
      <c r="B4" t="s">
        <v>18</v>
      </c>
      <c r="C4">
        <v>1</v>
      </c>
      <c r="D4" t="s">
        <v>19</v>
      </c>
      <c r="E4" t="s">
        <v>20</v>
      </c>
      <c r="F4">
        <v>4.4200000000000003E-2</v>
      </c>
      <c r="G4">
        <v>4.4200000000000003E-2</v>
      </c>
      <c r="H4">
        <v>5.28E-2</v>
      </c>
      <c r="I4">
        <v>1.51</v>
      </c>
      <c r="J4">
        <v>5.28E-2</v>
      </c>
      <c r="K4">
        <v>190.08</v>
      </c>
      <c r="L4">
        <v>34.25</v>
      </c>
    </row>
    <row r="5" spans="1:14" x14ac:dyDescent="0.3">
      <c r="A5" t="s">
        <v>21</v>
      </c>
      <c r="B5" t="s">
        <v>22</v>
      </c>
      <c r="C5">
        <v>1</v>
      </c>
      <c r="D5" t="s">
        <v>23</v>
      </c>
      <c r="E5" t="s">
        <v>24</v>
      </c>
      <c r="F5">
        <v>1.1000000000000001E-3</v>
      </c>
      <c r="G5">
        <v>1.1000000000000001E-3</v>
      </c>
      <c r="H5">
        <v>1.2E-2</v>
      </c>
      <c r="I5">
        <v>7.0000000000000007E-2</v>
      </c>
      <c r="J5">
        <v>1.2E-2</v>
      </c>
      <c r="K5">
        <v>43.2</v>
      </c>
      <c r="L5">
        <v>60.143999999999998</v>
      </c>
    </row>
    <row r="6" spans="1:14" x14ac:dyDescent="0.3">
      <c r="A6" t="s">
        <v>25</v>
      </c>
      <c r="B6" t="s">
        <v>26</v>
      </c>
      <c r="C6">
        <v>1</v>
      </c>
      <c r="D6" t="s">
        <v>27</v>
      </c>
      <c r="E6" t="s">
        <v>27</v>
      </c>
      <c r="F6">
        <v>0</v>
      </c>
      <c r="G6">
        <v>0</v>
      </c>
      <c r="H6">
        <v>0</v>
      </c>
      <c r="I6">
        <v>43.48</v>
      </c>
      <c r="J6">
        <v>0</v>
      </c>
      <c r="K6">
        <v>0</v>
      </c>
      <c r="L6">
        <v>0</v>
      </c>
    </row>
    <row r="7" spans="1:14" x14ac:dyDescent="0.3">
      <c r="A7" t="s">
        <v>28</v>
      </c>
      <c r="B7" t="s">
        <v>29</v>
      </c>
      <c r="C7">
        <v>1</v>
      </c>
      <c r="D7" t="s">
        <v>30</v>
      </c>
      <c r="E7" t="s">
        <v>31</v>
      </c>
      <c r="F7">
        <v>5.7200000000000001E-2</v>
      </c>
      <c r="G7">
        <v>5.7200000000000001E-2</v>
      </c>
      <c r="H7">
        <v>7.8200000000000006E-2</v>
      </c>
      <c r="I7">
        <v>6.25</v>
      </c>
      <c r="J7">
        <v>7.8200000000000006E-2</v>
      </c>
      <c r="K7">
        <v>281.52</v>
      </c>
      <c r="L7">
        <v>109.331</v>
      </c>
    </row>
    <row r="8" spans="1:14" x14ac:dyDescent="0.3">
      <c r="A8" t="s">
        <v>32</v>
      </c>
      <c r="B8" t="s">
        <v>33</v>
      </c>
      <c r="C8">
        <v>1</v>
      </c>
      <c r="D8" t="s">
        <v>27</v>
      </c>
      <c r="E8" t="s">
        <v>27</v>
      </c>
      <c r="F8">
        <v>0</v>
      </c>
      <c r="G8">
        <v>0</v>
      </c>
      <c r="H8">
        <v>0</v>
      </c>
      <c r="I8">
        <v>1.61</v>
      </c>
      <c r="J8">
        <v>0</v>
      </c>
      <c r="K8">
        <v>0</v>
      </c>
      <c r="L8">
        <v>0</v>
      </c>
    </row>
    <row r="9" spans="1:14" x14ac:dyDescent="0.3">
      <c r="A9" t="s">
        <v>34</v>
      </c>
      <c r="B9" t="s">
        <v>35</v>
      </c>
      <c r="C9">
        <v>2</v>
      </c>
      <c r="D9" t="s">
        <v>27</v>
      </c>
      <c r="E9" t="s">
        <v>27</v>
      </c>
      <c r="F9">
        <v>0</v>
      </c>
      <c r="G9">
        <v>0</v>
      </c>
      <c r="H9">
        <v>0</v>
      </c>
      <c r="I9">
        <v>3.48</v>
      </c>
      <c r="J9">
        <v>0</v>
      </c>
      <c r="K9">
        <v>0</v>
      </c>
      <c r="L9">
        <v>0</v>
      </c>
    </row>
    <row r="10" spans="1:14" x14ac:dyDescent="0.3">
      <c r="A10" t="s">
        <v>36</v>
      </c>
      <c r="B10" t="s">
        <v>37</v>
      </c>
      <c r="C10">
        <v>1</v>
      </c>
      <c r="D10" t="s">
        <v>19</v>
      </c>
      <c r="E10" t="s">
        <v>38</v>
      </c>
      <c r="F10">
        <v>5.4800000000000001E-2</v>
      </c>
      <c r="G10">
        <v>5.4800000000000001E-2</v>
      </c>
      <c r="H10">
        <v>1.4E-2</v>
      </c>
      <c r="I10">
        <v>1.9</v>
      </c>
      <c r="J10">
        <v>1.4E-2</v>
      </c>
      <c r="K10">
        <v>50.4</v>
      </c>
      <c r="L10">
        <v>34.6</v>
      </c>
    </row>
    <row r="11" spans="1:14" x14ac:dyDescent="0.3">
      <c r="A11" t="s">
        <v>39</v>
      </c>
      <c r="B11" t="s">
        <v>40</v>
      </c>
      <c r="C11">
        <v>1</v>
      </c>
      <c r="D11" t="s">
        <v>41</v>
      </c>
      <c r="E11" t="s">
        <v>42</v>
      </c>
      <c r="F11">
        <v>5.7999999999999996E-3</v>
      </c>
      <c r="G11">
        <v>5.7999999999999996E-3</v>
      </c>
      <c r="H11">
        <v>4.4000000000000003E-3</v>
      </c>
      <c r="I11">
        <v>0.27</v>
      </c>
      <c r="J11">
        <v>4.4000000000000003E-3</v>
      </c>
      <c r="K11">
        <v>15.84</v>
      </c>
      <c r="L11">
        <v>45.84</v>
      </c>
    </row>
    <row r="12" spans="1:14" x14ac:dyDescent="0.3">
      <c r="A12" t="s">
        <v>43</v>
      </c>
      <c r="B12" t="s">
        <v>44</v>
      </c>
      <c r="C12">
        <v>2</v>
      </c>
      <c r="D12" t="s">
        <v>15</v>
      </c>
      <c r="E12" t="s">
        <v>45</v>
      </c>
      <c r="F12">
        <v>0.18090000000000001</v>
      </c>
      <c r="G12">
        <v>0.36180000000000001</v>
      </c>
      <c r="H12">
        <v>2.9700000000000001E-2</v>
      </c>
      <c r="I12">
        <v>14.47</v>
      </c>
      <c r="J12">
        <v>5.9400000000000001E-2</v>
      </c>
      <c r="K12">
        <v>213.84</v>
      </c>
      <c r="L12">
        <v>40</v>
      </c>
    </row>
    <row r="13" spans="1:14" x14ac:dyDescent="0.3">
      <c r="A13" t="s">
        <v>46</v>
      </c>
      <c r="B13" t="s">
        <v>47</v>
      </c>
      <c r="C13">
        <v>2</v>
      </c>
      <c r="D13" t="s">
        <v>27</v>
      </c>
      <c r="E13" t="s">
        <v>27</v>
      </c>
      <c r="F13">
        <v>0</v>
      </c>
      <c r="G13">
        <v>0</v>
      </c>
      <c r="H13">
        <v>0</v>
      </c>
      <c r="I13">
        <v>21.16</v>
      </c>
      <c r="J13">
        <v>0</v>
      </c>
      <c r="K13">
        <v>0</v>
      </c>
      <c r="L13">
        <v>0</v>
      </c>
    </row>
    <row r="14" spans="1:14" x14ac:dyDescent="0.3">
      <c r="A14" t="s">
        <v>48</v>
      </c>
      <c r="B14" t="s">
        <v>49</v>
      </c>
      <c r="C14">
        <v>2</v>
      </c>
      <c r="D14" t="s">
        <v>50</v>
      </c>
      <c r="E14" t="s">
        <v>51</v>
      </c>
      <c r="F14">
        <v>5.0000000000000001E-3</v>
      </c>
      <c r="G14">
        <v>0.01</v>
      </c>
      <c r="H14">
        <v>8.3000000000000001E-3</v>
      </c>
      <c r="I14">
        <v>0.99</v>
      </c>
      <c r="J14">
        <v>1.66E-2</v>
      </c>
      <c r="K14">
        <v>59.76</v>
      </c>
      <c r="L14">
        <v>99.022999999999996</v>
      </c>
    </row>
    <row r="15" spans="1:14" x14ac:dyDescent="0.3">
      <c r="A15" t="s">
        <v>52</v>
      </c>
      <c r="B15" t="s">
        <v>53</v>
      </c>
      <c r="C15">
        <v>2</v>
      </c>
      <c r="D15" t="s">
        <v>54</v>
      </c>
      <c r="E15" t="s">
        <v>51</v>
      </c>
      <c r="F15">
        <v>4.8999999999999998E-3</v>
      </c>
      <c r="G15">
        <v>9.7999999999999997E-3</v>
      </c>
      <c r="H15">
        <v>7.9000000000000008E-3</v>
      </c>
      <c r="I15">
        <v>1.21</v>
      </c>
      <c r="J15">
        <v>1.5800000000000002E-2</v>
      </c>
      <c r="K15">
        <v>56.88</v>
      </c>
      <c r="L15">
        <v>123</v>
      </c>
    </row>
    <row r="16" spans="1:14" x14ac:dyDescent="0.3">
      <c r="A16" t="s">
        <v>55</v>
      </c>
      <c r="B16" t="s">
        <v>56</v>
      </c>
      <c r="C16">
        <v>2</v>
      </c>
      <c r="D16" t="s">
        <v>19</v>
      </c>
      <c r="E16" t="s">
        <v>57</v>
      </c>
      <c r="F16">
        <v>1.06E-2</v>
      </c>
      <c r="G16">
        <v>2.12E-2</v>
      </c>
      <c r="H16">
        <v>1.01E-2</v>
      </c>
      <c r="I16">
        <v>0.76</v>
      </c>
      <c r="J16">
        <v>2.0199999999999999E-2</v>
      </c>
      <c r="K16">
        <v>72.72</v>
      </c>
      <c r="L16">
        <v>35.770000000000003</v>
      </c>
    </row>
    <row r="17" spans="1:12" x14ac:dyDescent="0.3">
      <c r="A17" t="s">
        <v>58</v>
      </c>
      <c r="B17" t="s">
        <v>59</v>
      </c>
      <c r="C17">
        <v>2</v>
      </c>
      <c r="D17" t="s">
        <v>41</v>
      </c>
      <c r="E17" t="s">
        <v>42</v>
      </c>
      <c r="F17">
        <v>4.4999999999999997E-3</v>
      </c>
      <c r="G17">
        <v>8.9999999999999993E-3</v>
      </c>
      <c r="H17">
        <v>7.4999999999999997E-3</v>
      </c>
      <c r="I17">
        <v>0.41</v>
      </c>
      <c r="J17">
        <v>1.4999999999999999E-2</v>
      </c>
      <c r="K17">
        <v>54</v>
      </c>
      <c r="L17">
        <v>45.84</v>
      </c>
    </row>
    <row r="18" spans="1:12" x14ac:dyDescent="0.3">
      <c r="A18" t="s">
        <v>60</v>
      </c>
      <c r="B18" t="s">
        <v>61</v>
      </c>
      <c r="C18">
        <v>1</v>
      </c>
      <c r="D18" t="s">
        <v>27</v>
      </c>
      <c r="E18" t="s">
        <v>27</v>
      </c>
      <c r="F18">
        <v>0</v>
      </c>
      <c r="G18">
        <v>0</v>
      </c>
      <c r="H18">
        <v>0</v>
      </c>
      <c r="I18">
        <v>0.73</v>
      </c>
      <c r="J18">
        <v>0</v>
      </c>
      <c r="K18">
        <v>0</v>
      </c>
      <c r="L18">
        <v>0</v>
      </c>
    </row>
    <row r="21" spans="1:12" x14ac:dyDescent="0.3">
      <c r="I21" s="2">
        <f>SUM(I2:I20)</f>
        <v>107.46999999999998</v>
      </c>
      <c r="J21" s="2">
        <f>SUM(J2:J20)</f>
        <v>0.53820000000000001</v>
      </c>
      <c r="K21" s="5">
        <f>SUM(K2:K20)</f>
        <v>1937.52</v>
      </c>
    </row>
  </sheetData>
  <pageMargins left="0.19685039370078741" right="7.874015748031496E-2" top="0.39370078740157483" bottom="0.74803149606299213" header="0.31496062992125978" footer="0.31496062992125978"/>
  <pageSetup paperSize="9" scale="7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Stepan Faberskyj</cp:lastModifiedBy>
  <cp:lastPrinted>2022-09-29T11:47:25Z</cp:lastPrinted>
  <dcterms:created xsi:type="dcterms:W3CDTF">2006-09-16T00:00:00Z</dcterms:created>
  <dcterms:modified xsi:type="dcterms:W3CDTF">2022-12-15T11:07:42Z</dcterms:modified>
</cp:coreProperties>
</file>