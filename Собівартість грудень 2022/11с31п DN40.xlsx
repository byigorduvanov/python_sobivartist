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an Faberskyj\Desktop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I23" i="1" l="1"/>
  <c r="J23" i="1"/>
  <c r="K23" i="1"/>
</calcChain>
</file>

<file path=xl/sharedStrings.xml><?xml version="1.0" encoding="utf-8"?>
<sst xmlns="http://schemas.openxmlformats.org/spreadsheetml/2006/main" count="81" uniqueCount="67">
  <si>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</si>
  <si>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</si>
  <si>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</si>
  <si>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</si>
  <si>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</si>
  <si>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</si>
  <si>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</si>
  <si>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</si>
  <si>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</si>
  <si>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</si>
  <si>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</si>
  <si>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</si>
  <si>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</si>
  <si>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11.31.040-001</t>
  </si>
  <si>
    <t>Кран 11с31п DN40x32</t>
  </si>
  <si>
    <t>-</t>
  </si>
  <si>
    <t>41.31.040-001</t>
  </si>
  <si>
    <t>Патрубок корпуса 11с31п DN40x32</t>
  </si>
  <si>
    <t>Сталь 20</t>
  </si>
  <si>
    <t>Труба 76х3.0</t>
  </si>
  <si>
    <t>42.01.032-001</t>
  </si>
  <si>
    <t>Бобишка 11с31п DN32 (13x34)</t>
  </si>
  <si>
    <t>Сталь 3</t>
  </si>
  <si>
    <t>Круг 20</t>
  </si>
  <si>
    <t>53.01.004-001</t>
  </si>
  <si>
    <t>Штифт 4х11</t>
  </si>
  <si>
    <t>Сталь 45</t>
  </si>
  <si>
    <t>Круг калібр. 4</t>
  </si>
  <si>
    <t>60.01.040-001</t>
  </si>
  <si>
    <t>Куля 56х32</t>
  </si>
  <si>
    <t>Сталь 20Х13</t>
  </si>
  <si>
    <t>Труба 57х3.0</t>
  </si>
  <si>
    <t>61.01.040-001</t>
  </si>
  <si>
    <t>Шток 11с31п DN40 (13x57)</t>
  </si>
  <si>
    <t>20Х13</t>
  </si>
  <si>
    <t>Круг 16</t>
  </si>
  <si>
    <t>70.04.032-001</t>
  </si>
  <si>
    <t>Ущільнення штока DN32</t>
  </si>
  <si>
    <t>72.01.009-001</t>
  </si>
  <si>
    <t>Гумове кільце 009-014-25</t>
  </si>
  <si>
    <t>55.31.040-001</t>
  </si>
  <si>
    <t>Полоса ручки КТ31 DN40</t>
  </si>
  <si>
    <t>Штаба 20х4</t>
  </si>
  <si>
    <t>71.01.020-001</t>
  </si>
  <si>
    <t>Насадка на ручку DN32</t>
  </si>
  <si>
    <t>Поліетилен</t>
  </si>
  <si>
    <t>Порошок</t>
  </si>
  <si>
    <t>40.31.040-001</t>
  </si>
  <si>
    <t>Патрубок 11с31п DN40х32</t>
  </si>
  <si>
    <t>Труба 48х3.5</t>
  </si>
  <si>
    <t>70.01.040-001</t>
  </si>
  <si>
    <t>Ущільнення кулі 11с31п DN40x32</t>
  </si>
  <si>
    <t>Суміш (Ф-Г-Д)</t>
  </si>
  <si>
    <t>50.01.040-001</t>
  </si>
  <si>
    <t>Втулка кріпильна DN40x32</t>
  </si>
  <si>
    <t>Сталь 08Х13</t>
  </si>
  <si>
    <t>Лист 0.8</t>
  </si>
  <si>
    <t>51.01.040-001</t>
  </si>
  <si>
    <t>Пружина тарільчаста DN40x32</t>
  </si>
  <si>
    <t>Сталь 65Г</t>
  </si>
  <si>
    <t>Лист 1.2</t>
  </si>
  <si>
    <t>52.01.040-001</t>
  </si>
  <si>
    <t>Шайба DN40x32</t>
  </si>
  <si>
    <t>Лист 3.0</t>
  </si>
  <si>
    <t>71.02.040-001</t>
  </si>
  <si>
    <t>Заглушка на патрубок. Кран 11с31п DN40x32</t>
  </si>
  <si>
    <t>Гайка М12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</si>
</sst>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workbookViewId="0">
      <selection activeCell="M24" sqref="M24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9.7109375" style="2" bestFit="1" customWidth="1"/>
    <col min="12" max="12" width="9.140625" style="2" customWidth="1"/>
    <col min="13" max="13" width="13.28515625" style="2" customWidth="1"/>
    <col min="14" max="67" width="9.140625" style="2" customWidth="1"/>
    <col min="68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A2" t="s">
        <v>13</v>
      </c>
      <c r="B2" t="s">
        <v>14</v>
      </c>
      <c r="C2">
        <v>1</v>
      </c>
      <c r="D2" t="s">
        <v>15</v>
      </c>
      <c r="E2" t="s">
        <v>15</v>
      </c>
      <c r="F2">
        <v>0</v>
      </c>
      <c r="G2">
        <v>0</v>
      </c>
      <c r="H2">
        <v>0.22070000000000001</v>
      </c>
      <c r="I2">
        <v>0</v>
      </c>
      <c r="J2">
        <v>0.22070000000000001</v>
      </c>
      <c r="K2">
        <v>794.52</v>
      </c>
      <c r="L2">
        <v>0</v>
      </c>
    </row>
    <row r="3" spans="1:14" x14ac:dyDescent="0.3">
      <c r="A3" t="s">
        <v>16</v>
      </c>
      <c r="B3" t="s">
        <v>17</v>
      </c>
      <c r="C3">
        <v>1</v>
      </c>
      <c r="D3" t="s">
        <v>18</v>
      </c>
      <c r="E3" t="s">
        <v>19</v>
      </c>
      <c r="F3">
        <v>0.61560000000000004</v>
      </c>
      <c r="G3">
        <v>0.61560000000000004</v>
      </c>
      <c r="H3">
        <v>4.3299999999999998E-2</v>
      </c>
      <c r="I3">
        <v>24.62</v>
      </c>
      <c r="J3">
        <v>4.3299999999999998E-2</v>
      </c>
      <c r="K3">
        <v>155.88</v>
      </c>
      <c r="L3">
        <v>40</v>
      </c>
    </row>
    <row r="4" spans="1:14" x14ac:dyDescent="0.3">
      <c r="A4" t="s">
        <v>20</v>
      </c>
      <c r="B4" t="s">
        <v>21</v>
      </c>
      <c r="C4">
        <v>1</v>
      </c>
      <c r="D4" t="s">
        <v>22</v>
      </c>
      <c r="E4" t="s">
        <v>23</v>
      </c>
      <c r="F4">
        <v>9.8599999999999993E-2</v>
      </c>
      <c r="G4">
        <v>9.8599999999999993E-2</v>
      </c>
      <c r="H4">
        <v>5.28E-2</v>
      </c>
      <c r="I4">
        <v>3.38</v>
      </c>
      <c r="J4">
        <v>5.28E-2</v>
      </c>
      <c r="K4">
        <v>190.08</v>
      </c>
      <c r="L4">
        <v>34.25</v>
      </c>
    </row>
    <row r="5" spans="1:14" x14ac:dyDescent="0.3">
      <c r="A5" t="s">
        <v>24</v>
      </c>
      <c r="B5" t="s">
        <v>25</v>
      </c>
      <c r="C5">
        <v>1</v>
      </c>
      <c r="D5" t="s">
        <v>26</v>
      </c>
      <c r="E5" t="s">
        <v>27</v>
      </c>
      <c r="F5">
        <v>1.2999999999999999E-3</v>
      </c>
      <c r="G5">
        <v>1.2999999999999999E-3</v>
      </c>
      <c r="H5">
        <v>1.2E-2</v>
      </c>
      <c r="I5">
        <v>0.08</v>
      </c>
      <c r="J5">
        <v>1.2E-2</v>
      </c>
      <c r="K5">
        <v>43.2</v>
      </c>
      <c r="L5">
        <v>60.143999999999998</v>
      </c>
    </row>
    <row r="6" spans="1:14" x14ac:dyDescent="0.3">
      <c r="A6" t="s">
        <v>28</v>
      </c>
      <c r="B6" t="s">
        <v>29</v>
      </c>
      <c r="C6">
        <v>1</v>
      </c>
      <c r="D6" t="s">
        <v>30</v>
      </c>
      <c r="E6" t="s">
        <v>31</v>
      </c>
      <c r="F6">
        <v>0.2155</v>
      </c>
      <c r="G6">
        <v>0.2155</v>
      </c>
      <c r="H6">
        <v>8.8900000000000007E-2</v>
      </c>
      <c r="I6">
        <v>26.09</v>
      </c>
      <c r="J6">
        <v>8.8900000000000007E-2</v>
      </c>
      <c r="K6">
        <v>88.92</v>
      </c>
      <c r="L6">
        <v>121.084</v>
      </c>
    </row>
    <row r="7" spans="1:14" x14ac:dyDescent="0.3">
      <c r="A7" t="s">
        <v>32</v>
      </c>
      <c r="B7" t="s">
        <v>33</v>
      </c>
      <c r="C7">
        <v>1</v>
      </c>
      <c r="D7" t="s">
        <v>34</v>
      </c>
      <c r="E7" t="s">
        <v>35</v>
      </c>
      <c r="F7">
        <v>0.1</v>
      </c>
      <c r="G7">
        <v>0.1</v>
      </c>
      <c r="H7">
        <v>6.4799999999999996E-2</v>
      </c>
      <c r="I7">
        <v>10.93</v>
      </c>
      <c r="J7">
        <v>6.4799999999999996E-2</v>
      </c>
      <c r="K7">
        <v>233.28</v>
      </c>
      <c r="L7">
        <v>109.331</v>
      </c>
    </row>
    <row r="8" spans="1:14" x14ac:dyDescent="0.3">
      <c r="A8" t="s">
        <v>36</v>
      </c>
      <c r="B8" t="s">
        <v>37</v>
      </c>
      <c r="C8">
        <v>1</v>
      </c>
      <c r="D8" t="s">
        <v>15</v>
      </c>
      <c r="E8" t="s">
        <v>15</v>
      </c>
      <c r="F8">
        <v>0</v>
      </c>
      <c r="G8">
        <v>0</v>
      </c>
      <c r="H8">
        <v>0</v>
      </c>
      <c r="I8">
        <v>3.61</v>
      </c>
      <c r="J8">
        <v>0</v>
      </c>
      <c r="K8">
        <v>0</v>
      </c>
      <c r="L8">
        <v>0</v>
      </c>
    </row>
    <row r="9" spans="1:14" x14ac:dyDescent="0.3">
      <c r="A9" t="s">
        <v>38</v>
      </c>
      <c r="B9" t="s">
        <v>39</v>
      </c>
      <c r="C9">
        <v>2</v>
      </c>
      <c r="D9" t="s">
        <v>15</v>
      </c>
      <c r="E9" t="s">
        <v>15</v>
      </c>
      <c r="F9">
        <v>0</v>
      </c>
      <c r="G9">
        <v>0</v>
      </c>
      <c r="H9">
        <v>0</v>
      </c>
      <c r="I9">
        <v>7.28</v>
      </c>
      <c r="J9">
        <v>0</v>
      </c>
      <c r="K9">
        <v>0</v>
      </c>
      <c r="L9">
        <v>0</v>
      </c>
    </row>
    <row r="10" spans="1:14" x14ac:dyDescent="0.3">
      <c r="A10" t="s">
        <v>40</v>
      </c>
      <c r="B10" t="s">
        <v>41</v>
      </c>
      <c r="C10">
        <v>1</v>
      </c>
      <c r="D10" t="s">
        <v>22</v>
      </c>
      <c r="E10" t="s">
        <v>42</v>
      </c>
      <c r="F10">
        <v>0.15570000000000001</v>
      </c>
      <c r="G10">
        <v>0.15570000000000001</v>
      </c>
      <c r="H10">
        <v>1.4E-2</v>
      </c>
      <c r="I10">
        <v>5.39</v>
      </c>
      <c r="J10">
        <v>1.4E-2</v>
      </c>
      <c r="K10">
        <v>50.4</v>
      </c>
      <c r="L10">
        <v>34.6</v>
      </c>
    </row>
    <row r="11" spans="1:14" x14ac:dyDescent="0.3">
      <c r="A11" t="s">
        <v>43</v>
      </c>
      <c r="B11" t="s">
        <v>44</v>
      </c>
      <c r="C11">
        <v>1</v>
      </c>
      <c r="D11" t="s">
        <v>45</v>
      </c>
      <c r="E11" t="s">
        <v>46</v>
      </c>
      <c r="F11">
        <v>8.5000000000000006E-3</v>
      </c>
      <c r="G11">
        <v>8.5000000000000006E-3</v>
      </c>
      <c r="H11">
        <v>4.4000000000000003E-3</v>
      </c>
      <c r="I11">
        <v>0.39</v>
      </c>
      <c r="J11">
        <v>4.4000000000000003E-3</v>
      </c>
      <c r="K11">
        <v>15.84</v>
      </c>
      <c r="L11">
        <v>45.84</v>
      </c>
    </row>
    <row r="12" spans="1:14" x14ac:dyDescent="0.3">
      <c r="A12" t="s">
        <v>47</v>
      </c>
      <c r="B12" t="s">
        <v>48</v>
      </c>
      <c r="C12">
        <v>2</v>
      </c>
      <c r="D12" t="s">
        <v>18</v>
      </c>
      <c r="E12" t="s">
        <v>49</v>
      </c>
      <c r="F12">
        <v>0.43780000000000002</v>
      </c>
      <c r="G12">
        <v>0.87560000000000004</v>
      </c>
      <c r="H12">
        <v>3.1600000000000003E-2</v>
      </c>
      <c r="I12">
        <v>35.020000000000003</v>
      </c>
      <c r="J12">
        <v>6.3200000000000006E-2</v>
      </c>
      <c r="K12">
        <v>227.52</v>
      </c>
      <c r="L12">
        <v>40</v>
      </c>
    </row>
    <row r="13" spans="1:14" x14ac:dyDescent="0.3">
      <c r="A13" t="s">
        <v>50</v>
      </c>
      <c r="B13" t="s">
        <v>51</v>
      </c>
      <c r="C13">
        <v>2</v>
      </c>
      <c r="D13" t="s">
        <v>52</v>
      </c>
      <c r="E13" t="s">
        <v>46</v>
      </c>
      <c r="F13">
        <v>1.2800000000000001E-2</v>
      </c>
      <c r="G13">
        <v>2.5600000000000001E-2</v>
      </c>
      <c r="H13">
        <v>2.5399999999999999E-2</v>
      </c>
      <c r="I13">
        <v>10.5</v>
      </c>
      <c r="J13">
        <v>5.0799999999999998E-2</v>
      </c>
      <c r="K13">
        <v>182.88</v>
      </c>
      <c r="L13">
        <v>410</v>
      </c>
    </row>
    <row r="14" spans="1:14" x14ac:dyDescent="0.3">
      <c r="A14" t="s">
        <v>53</v>
      </c>
      <c r="B14" t="s">
        <v>54</v>
      </c>
      <c r="C14">
        <v>2</v>
      </c>
      <c r="D14" t="s">
        <v>55</v>
      </c>
      <c r="E14" t="s">
        <v>56</v>
      </c>
      <c r="F14">
        <v>1.46E-2</v>
      </c>
      <c r="G14">
        <v>2.92E-2</v>
      </c>
      <c r="H14">
        <v>8.0999999999999996E-3</v>
      </c>
      <c r="I14">
        <v>2.89</v>
      </c>
      <c r="J14">
        <v>1.6199999999999999E-2</v>
      </c>
      <c r="K14">
        <v>58.32</v>
      </c>
      <c r="L14">
        <v>99.022999999999996</v>
      </c>
    </row>
    <row r="15" spans="1:14" x14ac:dyDescent="0.3">
      <c r="A15" t="s">
        <v>57</v>
      </c>
      <c r="B15" t="s">
        <v>58</v>
      </c>
      <c r="C15">
        <v>2</v>
      </c>
      <c r="D15" t="s">
        <v>59</v>
      </c>
      <c r="E15" t="s">
        <v>60</v>
      </c>
      <c r="F15">
        <v>2.1700000000000001E-2</v>
      </c>
      <c r="G15">
        <v>4.3400000000000001E-2</v>
      </c>
      <c r="H15">
        <v>1.0699999999999999E-2</v>
      </c>
      <c r="I15">
        <v>5.34</v>
      </c>
      <c r="J15">
        <v>2.1399999999999999E-2</v>
      </c>
      <c r="K15">
        <v>77.040000000000006</v>
      </c>
      <c r="L15">
        <v>123</v>
      </c>
    </row>
    <row r="16" spans="1:14" x14ac:dyDescent="0.3">
      <c r="A16" t="s">
        <v>61</v>
      </c>
      <c r="B16" t="s">
        <v>62</v>
      </c>
      <c r="C16">
        <v>2</v>
      </c>
      <c r="D16" t="s">
        <v>22</v>
      </c>
      <c r="E16" t="s">
        <v>63</v>
      </c>
      <c r="F16">
        <v>5.1900000000000002E-2</v>
      </c>
      <c r="G16">
        <v>0.1038</v>
      </c>
      <c r="H16">
        <v>5.1000000000000004E-3</v>
      </c>
      <c r="I16">
        <v>3.71</v>
      </c>
      <c r="J16">
        <v>1.0200000000000001E-2</v>
      </c>
      <c r="K16">
        <v>36.72</v>
      </c>
      <c r="L16">
        <v>35.770000000000003</v>
      </c>
    </row>
    <row r="17" spans="1:12" x14ac:dyDescent="0.3">
      <c r="A17" t="s">
        <v>64</v>
      </c>
      <c r="B17" t="s">
        <v>65</v>
      </c>
      <c r="C17">
        <v>2</v>
      </c>
      <c r="D17" t="s">
        <v>45</v>
      </c>
      <c r="E17" t="s">
        <v>46</v>
      </c>
      <c r="F17">
        <v>7.7000000000000002E-3</v>
      </c>
      <c r="G17">
        <v>1.54E-2</v>
      </c>
      <c r="H17">
        <v>7.4999999999999997E-3</v>
      </c>
      <c r="I17">
        <v>0.71</v>
      </c>
      <c r="J17">
        <v>1.4999999999999999E-2</v>
      </c>
      <c r="K17">
        <v>54</v>
      </c>
      <c r="L17">
        <v>45.84</v>
      </c>
    </row>
    <row r="18" spans="1:12" x14ac:dyDescent="0.3">
      <c r="A18" t="s">
        <v>66</v>
      </c>
      <c r="B18" t="s">
        <v>66</v>
      </c>
      <c r="C18">
        <v>1</v>
      </c>
      <c r="D18" t="s">
        <v>15</v>
      </c>
      <c r="E18" t="s">
        <v>15</v>
      </c>
      <c r="F18">
        <v>0</v>
      </c>
      <c r="G18">
        <v>0</v>
      </c>
      <c r="H18">
        <v>0</v>
      </c>
      <c r="I18">
        <v>0.42</v>
      </c>
      <c r="J18">
        <v>0</v>
      </c>
      <c r="K18">
        <v>0</v>
      </c>
      <c r="L18">
        <v>0</v>
      </c>
    </row>
    <row r="23" spans="1:12" x14ac:dyDescent="0.3">
      <c r="I23" s="2">
        <f>SUM(I2:I22)</f>
        <v>140.35999999999999</v>
      </c>
      <c r="J23" s="2">
        <f>SUM(J2:J22)</f>
        <v>0.67769999999999997</v>
      </c>
      <c r="K23" s="2">
        <f>SUM(K2:K22)</f>
        <v>2208.6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2022-12-15T12:49:21Z</dcterms:modified>
</cp:coreProperties>
</file>